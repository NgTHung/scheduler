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schedule\data\"/>
    </mc:Choice>
  </mc:AlternateContent>
  <xr:revisionPtr revIDLastSave="0" documentId="13_ncr:1_{3DB91F61-8FFD-4906-AA52-5F2983206690}" xr6:coauthVersionLast="47" xr6:coauthVersionMax="47" xr10:uidLastSave="{00000000-0000-0000-0000-000000000000}"/>
  <bookViews>
    <workbookView xWindow="-120" yWindow="-120" windowWidth="38640" windowHeight="21840" xr2:uid="{A376533C-320D-47C6-ABE7-194DC34DD704}"/>
  </bookViews>
  <sheets>
    <sheet name="students" sheetId="1" r:id="rId1"/>
    <sheet name="mento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1" l="1"/>
  <c r="D1" i="1"/>
  <c r="D7" i="1"/>
  <c r="D18" i="1"/>
  <c r="D1" i="2"/>
  <c r="C1" i="2"/>
</calcChain>
</file>

<file path=xl/sharedStrings.xml><?xml version="1.0" encoding="utf-8"?>
<sst xmlns="http://schemas.openxmlformats.org/spreadsheetml/2006/main" count="239" uniqueCount="170">
  <si>
    <t>Data Analytics</t>
  </si>
  <si>
    <t>Huỳnh Ngọc Thanh Tâm</t>
  </si>
  <si>
    <t>ca 9</t>
  </si>
  <si>
    <t>Lê Vũ Ngọc Giang</t>
  </si>
  <si>
    <t>2, 6, 11, 12</t>
  </si>
  <si>
    <t>Nông Thị Ngân Thương</t>
  </si>
  <si>
    <t>Không</t>
  </si>
  <si>
    <t>Dạ ca 2, ca 3</t>
  </si>
  <si>
    <t>Lê Thị Ngọc Anh</t>
  </si>
  <si>
    <t>1, 2, 3, 4, 5, 6, 7, 8, 9, 10, 11, 12</t>
  </si>
  <si>
    <t>Nguyễn Lê Trâm Anh</t>
  </si>
  <si>
    <t>1;2;3</t>
  </si>
  <si>
    <t>Finance</t>
  </si>
  <si>
    <t>Nguyễn Ngọc Tường Vi</t>
  </si>
  <si>
    <t>Lê Bùi Trần Thái Hồng</t>
  </si>
  <si>
    <t>Ca 1,2,3,4,6,7,8,11,12</t>
  </si>
  <si>
    <t>Ca 7,8,11,12</t>
  </si>
  <si>
    <t>Đặng Gia Minh</t>
  </si>
  <si>
    <t>Nguyễn Huỳnh Nga</t>
  </si>
  <si>
    <t>4, 10</t>
  </si>
  <si>
    <t>Đoàn Tuấn Minh</t>
  </si>
  <si>
    <t>3, 4, 5, 6, 7, 8, 9, 10, 11, 12</t>
  </si>
  <si>
    <t>Nguyễn Ngọc Khánh Thy</t>
  </si>
  <si>
    <t>5,6,7,8,9,10,11,12</t>
  </si>
  <si>
    <t>Trần Huỳnh Minh Thư</t>
  </si>
  <si>
    <t>6;7;8</t>
  </si>
  <si>
    <t>Vũ Thị Bảo Trâm</t>
  </si>
  <si>
    <t>9 - 10 - 11 - 12</t>
  </si>
  <si>
    <t>5 - 6 - 12</t>
  </si>
  <si>
    <t>HR</t>
  </si>
  <si>
    <t>Nguyễn Hoài Bảo Phương</t>
  </si>
  <si>
    <t>1,2,4,5,6,7,8,9,10,11,12</t>
  </si>
  <si>
    <t>Lê Gia Bảo Trân</t>
  </si>
  <si>
    <t>Ca 12</t>
  </si>
  <si>
    <t>Ca 1,2</t>
  </si>
  <si>
    <t>Nguyễn Anh Nhật</t>
  </si>
  <si>
    <t>2,3,4,5,6,7,8,9</t>
  </si>
  <si>
    <t>Đặng Hương Giang</t>
  </si>
  <si>
    <t>Nguyễn Lê Khánh Huyền</t>
  </si>
  <si>
    <t>ca 3</t>
  </si>
  <si>
    <t>Đặng Thanh Mai</t>
  </si>
  <si>
    <t>Ca 2</t>
  </si>
  <si>
    <t>Phan Lê Bảo Thương</t>
  </si>
  <si>
    <t>Ca 6</t>
  </si>
  <si>
    <t>Lâm Nhật Tùng</t>
  </si>
  <si>
    <t>ca 8</t>
  </si>
  <si>
    <t>Logistics</t>
  </si>
  <si>
    <t>Ca 3,5,6,7,8</t>
  </si>
  <si>
    <t>Ca 4,5,6,7,8</t>
  </si>
  <si>
    <t>Lê Nguyễn Khánh Tâm</t>
  </si>
  <si>
    <t>Ca 6, 7, 8, 9, 10</t>
  </si>
  <si>
    <t>Ca 2, 3, 4, 6, 7, 8, 9, 10</t>
  </si>
  <si>
    <t>1,2,3,4</t>
  </si>
  <si>
    <t>không</t>
  </si>
  <si>
    <t>Phạm Thị Quỳnh Anh</t>
  </si>
  <si>
    <t>Ca 1, 2, 3, 4, 9, 10, 11, 12</t>
  </si>
  <si>
    <t>Ca 10, 11, 12</t>
  </si>
  <si>
    <t>Mai Chí Thanh</t>
  </si>
  <si>
    <t xml:space="preserve">ca 11, 12 </t>
  </si>
  <si>
    <t>ca 11, 12</t>
  </si>
  <si>
    <t>Nguyễn Phước Nguyên</t>
  </si>
  <si>
    <t>Ca 4, 5-9</t>
  </si>
  <si>
    <t>Ca 5-12</t>
  </si>
  <si>
    <t>Nguyễn Thị Diễm Thùy</t>
  </si>
  <si>
    <t>Ca 2, 3, 4.</t>
  </si>
  <si>
    <t>Ca 7, ca 8</t>
  </si>
  <si>
    <t>Đoàn Nguyễn Anh Quân</t>
  </si>
  <si>
    <t>2, 3, 4, 7, 8</t>
  </si>
  <si>
    <t>Nguyễn Thị Minh Thư</t>
  </si>
  <si>
    <t>5, 6, 7, 8</t>
  </si>
  <si>
    <t>Lương Bảo Ngọc</t>
  </si>
  <si>
    <t>1,5,6,7,8</t>
  </si>
  <si>
    <t>Sales</t>
  </si>
  <si>
    <t>Vũ Nguyễn Thiên Phúc</t>
  </si>
  <si>
    <t>Ca 8</t>
  </si>
  <si>
    <t>Ca 4</t>
  </si>
  <si>
    <t>Lê Đình Khánh Duy</t>
  </si>
  <si>
    <t>ca 10</t>
  </si>
  <si>
    <t>Nguyễn Khác Mẫn</t>
  </si>
  <si>
    <t>Lưu Trần Khánh Hân</t>
  </si>
  <si>
    <t>Ca6</t>
  </si>
  <si>
    <t>Dương Nguyễn Anh Kiệt</t>
  </si>
  <si>
    <t>6,7,8,9,10,11,12</t>
  </si>
  <si>
    <t>Lâm Nhật Ái</t>
  </si>
  <si>
    <t>Ca 11</t>
  </si>
  <si>
    <t>Ca 1, 2, 3</t>
  </si>
  <si>
    <t>Trần Việt Nguyên Anh</t>
  </si>
  <si>
    <t>1,2;3,6,7,8,9,12</t>
  </si>
  <si>
    <t>Ngô Thị Thúy Ny</t>
  </si>
  <si>
    <t>2;6;7</t>
  </si>
  <si>
    <t>Nguyễn Trang Dung</t>
  </si>
  <si>
    <t>2; 3; 4</t>
  </si>
  <si>
    <t>Ngô Gia Thiên</t>
  </si>
  <si>
    <t>Đinh Uyên Nhi</t>
  </si>
  <si>
    <t>Ca 3, ca 4</t>
  </si>
  <si>
    <t>Ca 10</t>
  </si>
  <si>
    <t>Võ Ngọc Bảo Ngân</t>
  </si>
  <si>
    <t>Lý Ngọc Hân</t>
  </si>
  <si>
    <t>Minh Châu</t>
  </si>
  <si>
    <t>Nguyễn Minh Nhựt</t>
  </si>
  <si>
    <t>Hà Trần</t>
  </si>
  <si>
    <t>3,4,6,7,8,12</t>
  </si>
  <si>
    <t>Nguyen Lily</t>
  </si>
  <si>
    <t>Lương Kỷ Linh</t>
  </si>
  <si>
    <t>Dong Nhat Thanh</t>
  </si>
  <si>
    <t>Bùi Đoàn Chung</t>
  </si>
  <si>
    <t>1,2,3</t>
  </si>
  <si>
    <t>Ngọc Hiến Nguyễn</t>
  </si>
  <si>
    <t>LAN HƯƠNG TRƯƠNG</t>
  </si>
  <si>
    <t>MARKETING</t>
  </si>
  <si>
    <t>Tô Hoài Nam</t>
  </si>
  <si>
    <t>Vương Thế Đạt</t>
  </si>
  <si>
    <t>1,5</t>
  </si>
  <si>
    <t>Huỳnh Thị Ngọc Trâm</t>
  </si>
  <si>
    <t>Phan Trần Quang Huy</t>
  </si>
  <si>
    <t>Nguyễn Khánh Phượng Hoàng</t>
  </si>
  <si>
    <t>9;10</t>
  </si>
  <si>
    <t>Đặng Vĩnh Phúc</t>
  </si>
  <si>
    <t>2</t>
  </si>
  <si>
    <t>Jade Nguyễn</t>
  </si>
  <si>
    <t>10,11,12</t>
  </si>
  <si>
    <t>Lê Đức Huy</t>
  </si>
  <si>
    <t>11;12</t>
  </si>
  <si>
    <t>TRẦN NHẬT NGHI</t>
  </si>
  <si>
    <t>6;7</t>
  </si>
  <si>
    <t>Tracy Vũ</t>
  </si>
  <si>
    <t>Dương Nga</t>
  </si>
  <si>
    <t>Lê Minh Hưng</t>
  </si>
  <si>
    <t>Đỗ Thanh Tùng</t>
  </si>
  <si>
    <t>Bùi Thị Quỳnh Như</t>
  </si>
  <si>
    <t>1;6;7</t>
  </si>
  <si>
    <t>Phan Trần Khánh Quỳnh</t>
  </si>
  <si>
    <t>DATA ANALYTICS</t>
  </si>
  <si>
    <t>Huỳnh Thanh Sang</t>
  </si>
  <si>
    <t>Johnny Tho Tran</t>
  </si>
  <si>
    <t>1;2;3;4</t>
  </si>
  <si>
    <t>Tạ Quốc Chung</t>
  </si>
  <si>
    <t>2;3;4</t>
  </si>
  <si>
    <t>Nhan Nguyen</t>
  </si>
  <si>
    <t>5;6</t>
  </si>
  <si>
    <t>Nguyễn Đặng Hiếu</t>
  </si>
  <si>
    <t>Nguyễn Hữu Duy Khánh</t>
  </si>
  <si>
    <t>3;6;7;8;10</t>
  </si>
  <si>
    <t>FINANCE</t>
  </si>
  <si>
    <t>Dương Nguyen</t>
  </si>
  <si>
    <t>Lộ Hồng Việt</t>
  </si>
  <si>
    <t>Van Tran Le Hong</t>
  </si>
  <si>
    <t>Bùi Ngô Tiến Đạt</t>
  </si>
  <si>
    <t>Lương Ngọc Khôi</t>
  </si>
  <si>
    <t>Dương Liên Hương</t>
  </si>
  <si>
    <t>Ngành</t>
  </si>
  <si>
    <t>Họ tên</t>
  </si>
  <si>
    <t>7,8</t>
  </si>
  <si>
    <t>2,3,8</t>
  </si>
  <si>
    <t>6,7,8</t>
  </si>
  <si>
    <t>3,6,7</t>
  </si>
  <si>
    <t>2,8,12</t>
  </si>
  <si>
    <t>5,6,7,8</t>
  </si>
  <si>
    <t>7,8,9,10,11,12</t>
  </si>
  <si>
    <t>10;11;12</t>
  </si>
  <si>
    <t>3;4;8</t>
  </si>
  <si>
    <t>10;11</t>
  </si>
  <si>
    <t>6,7;8</t>
  </si>
  <si>
    <t>3;4</t>
  </si>
  <si>
    <t>2,3;10</t>
  </si>
  <si>
    <t>4;8;11;12</t>
  </si>
  <si>
    <t>9;10;11</t>
  </si>
  <si>
    <t>1;2;12</t>
  </si>
  <si>
    <t>11,12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</si>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</sst>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\,m\,yy"/>
  </numFmts>
  <fonts count="8">
    <font>
      <sz val="11"/>
      <color theme="1"/>
      <name val="Aptos Narrow"/>
      <family val="2"/>
      <scheme val="minor"/>
    </font>
    <font>
      <sz val="10"/>
      <color rgb="FF000000"/>
      <name val="Aptos Narrow"/>
      <scheme val="minor"/>
    </font>
    <font>
      <sz val="10"/>
      <color theme="1"/>
      <name val="Lexend"/>
    </font>
    <font>
      <sz val="14"/>
      <color theme="1"/>
      <name val="Lexend"/>
    </font>
    <font>
      <sz val="12"/>
      <color theme="1"/>
      <name val="Lexend"/>
    </font>
    <font>
      <strike/>
      <sz val="10"/>
      <color theme="1"/>
      <name val="Lexend"/>
    </font>
    <font>
      <sz val="12"/>
      <color theme="0"/>
      <name val="Lexend"/>
    </font>
    <font>
      <sz val="12"/>
      <color rgb="FFFFFFFF"/>
      <name val="Lexend"/>
    </font>
  </fonts>
  <fills count="5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999999"/>
        <bgColor rgb="FF999999"/>
      </patternFill>
    </fill>
    <fill>
      <patternFill patternType="solid">
        <fgColor rgb="FF980000"/>
        <bgColor rgb="FF980000"/>
      </patternFill>
    </fill>
  </fills>
  <borders count="21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/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0" fontId="4" fillId="3" borderId="3" xfId="1" applyFont="1" applyFill="1" applyBorder="1" applyAlignment="1">
      <alignment vertical="center"/>
    </xf>
    <xf numFmtId="0" fontId="4" fillId="0" borderId="4" xfId="1" applyFont="1" applyBorder="1" applyAlignment="1">
      <alignment vertical="center"/>
    </xf>
    <xf numFmtId="0" fontId="4" fillId="0" borderId="3" xfId="1" applyFont="1" applyBorder="1" applyAlignment="1">
      <alignment horizontal="right" vertical="center"/>
    </xf>
    <xf numFmtId="0" fontId="4" fillId="3" borderId="6" xfId="1" applyFont="1" applyFill="1" applyBorder="1" applyAlignment="1">
      <alignment vertical="center"/>
    </xf>
    <xf numFmtId="0" fontId="4" fillId="0" borderId="7" xfId="1" applyFont="1" applyBorder="1" applyAlignment="1">
      <alignment vertical="center"/>
    </xf>
    <xf numFmtId="0" fontId="4" fillId="0" borderId="6" xfId="1" applyFont="1" applyBorder="1" applyAlignment="1">
      <alignment vertical="center"/>
    </xf>
    <xf numFmtId="0" fontId="4" fillId="3" borderId="9" xfId="1" applyFont="1" applyFill="1" applyBorder="1" applyAlignment="1">
      <alignment vertical="center"/>
    </xf>
    <xf numFmtId="0" fontId="4" fillId="0" borderId="10" xfId="1" applyFont="1" applyBorder="1" applyAlignment="1">
      <alignment vertical="center"/>
    </xf>
    <xf numFmtId="0" fontId="4" fillId="0" borderId="9" xfId="1" applyFont="1" applyBorder="1" applyAlignment="1">
      <alignment vertical="center"/>
    </xf>
    <xf numFmtId="0" fontId="4" fillId="2" borderId="3" xfId="1" applyFont="1" applyFill="1" applyBorder="1" applyAlignment="1">
      <alignment vertical="center"/>
    </xf>
    <xf numFmtId="0" fontId="4" fillId="2" borderId="4" xfId="1" applyFont="1" applyFill="1" applyBorder="1" applyAlignment="1">
      <alignment vertical="center"/>
    </xf>
    <xf numFmtId="164" fontId="4" fillId="2" borderId="3" xfId="1" applyNumberFormat="1" applyFont="1" applyFill="1" applyBorder="1" applyAlignment="1">
      <alignment vertical="center"/>
    </xf>
    <xf numFmtId="0" fontId="4" fillId="2" borderId="6" xfId="1" applyFont="1" applyFill="1" applyBorder="1" applyAlignment="1">
      <alignment vertical="center"/>
    </xf>
    <xf numFmtId="0" fontId="4" fillId="2" borderId="7" xfId="1" applyFont="1" applyFill="1" applyBorder="1" applyAlignment="1">
      <alignment vertical="center"/>
    </xf>
    <xf numFmtId="0" fontId="4" fillId="0" borderId="7" xfId="1" applyFont="1" applyBorder="1" applyAlignment="1">
      <alignment horizontal="right" vertical="center"/>
    </xf>
    <xf numFmtId="0" fontId="4" fillId="0" borderId="6" xfId="1" applyFont="1" applyBorder="1" applyAlignment="1">
      <alignment horizontal="right" vertical="center"/>
    </xf>
    <xf numFmtId="0" fontId="4" fillId="3" borderId="7" xfId="1" applyFont="1" applyFill="1" applyBorder="1" applyAlignment="1">
      <alignment vertical="center"/>
    </xf>
    <xf numFmtId="0" fontId="4" fillId="3" borderId="6" xfId="1" applyFont="1" applyFill="1" applyBorder="1" applyAlignment="1">
      <alignment horizontal="right" vertical="center"/>
    </xf>
    <xf numFmtId="0" fontId="4" fillId="3" borderId="11" xfId="1" applyFont="1" applyFill="1" applyBorder="1" applyAlignment="1">
      <alignment vertical="center"/>
    </xf>
    <xf numFmtId="0" fontId="4" fillId="0" borderId="12" xfId="1" applyFont="1" applyBorder="1" applyAlignment="1">
      <alignment vertical="center"/>
    </xf>
    <xf numFmtId="0" fontId="4" fillId="0" borderId="11" xfId="1" applyFont="1" applyBorder="1" applyAlignment="1">
      <alignment vertical="center"/>
    </xf>
    <xf numFmtId="164" fontId="4" fillId="0" borderId="6" xfId="1" applyNumberFormat="1" applyFont="1" applyBorder="1" applyAlignment="1">
      <alignment vertical="center"/>
    </xf>
    <xf numFmtId="0" fontId="6" fillId="4" borderId="6" xfId="1" applyFont="1" applyFill="1" applyBorder="1" applyAlignment="1">
      <alignment vertical="center"/>
    </xf>
    <xf numFmtId="0" fontId="4" fillId="0" borderId="3" xfId="1" applyFont="1" applyBorder="1" applyAlignment="1">
      <alignment vertical="center"/>
    </xf>
    <xf numFmtId="0" fontId="4" fillId="0" borderId="11" xfId="1" applyFont="1" applyBorder="1" applyAlignment="1">
      <alignment horizontal="right" vertical="center"/>
    </xf>
    <xf numFmtId="0" fontId="4" fillId="3" borderId="13" xfId="1" applyFont="1" applyFill="1" applyBorder="1" applyAlignment="1">
      <alignment vertical="center"/>
    </xf>
    <xf numFmtId="0" fontId="4" fillId="0" borderId="14" xfId="1" applyFont="1" applyBorder="1" applyAlignment="1">
      <alignment vertical="center"/>
    </xf>
    <xf numFmtId="0" fontId="4" fillId="3" borderId="15" xfId="1" applyFont="1" applyFill="1" applyBorder="1" applyAlignment="1">
      <alignment vertical="center"/>
    </xf>
    <xf numFmtId="0" fontId="4" fillId="0" borderId="16" xfId="1" applyFont="1" applyBorder="1" applyAlignment="1">
      <alignment vertical="center"/>
    </xf>
    <xf numFmtId="0" fontId="6" fillId="4" borderId="15" xfId="1" applyFont="1" applyFill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 wrapText="1"/>
    </xf>
    <xf numFmtId="0" fontId="4" fillId="0" borderId="16" xfId="1" applyFont="1" applyBorder="1" applyAlignment="1">
      <alignment horizontal="center" vertical="center"/>
    </xf>
    <xf numFmtId="0" fontId="7" fillId="4" borderId="15" xfId="1" applyFont="1" applyFill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3" borderId="6" xfId="1" applyFont="1" applyFill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6" fillId="4" borderId="6" xfId="1" applyFont="1" applyFill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7" fillId="4" borderId="17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16" fontId="3" fillId="0" borderId="18" xfId="0" applyNumberFormat="1" applyFont="1" applyBorder="1" applyAlignment="1">
      <alignment horizontal="center" vertical="center" wrapText="1"/>
    </xf>
    <xf numFmtId="16" fontId="3" fillId="0" borderId="18" xfId="0" applyNumberFormat="1" applyFont="1" applyBorder="1" applyAlignment="1" applyProtection="1">
      <alignment horizontal="center" vertical="center" wrapText="1"/>
      <protection locked="0"/>
    </xf>
    <xf numFmtId="0" fontId="3" fillId="0" borderId="18" xfId="0" applyFont="1" applyBorder="1" applyAlignment="1" applyProtection="1">
      <alignment horizontal="center" vertical="center" wrapText="1"/>
      <protection locked="0"/>
    </xf>
    <xf numFmtId="0" fontId="3" fillId="0" borderId="2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3" fillId="0" borderId="5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4" fillId="0" borderId="2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0" fontId="3" fillId="0" borderId="20" xfId="1" applyFont="1" applyBorder="1" applyAlignment="1">
      <alignment horizontal="center" vertical="center" wrapText="1"/>
    </xf>
  </cellXfs>
  <cellStyles count="2">
    <cellStyle name="Normal" xfId="0" builtinId="0"/>
    <cellStyle name="Normal 2" xfId="1" xr:uid="{C95B10F8-0383-418D-86C2-51E03F9C194E}"/>
  </cellStyles>
  <dxfs count="6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3" defaultTableStyle="TableStyleMedium2" defaultPivotStyle="PivotStyleLight16">
    <tableStyle name="Chia ca Mentor-style" pivot="0" count="2" xr9:uid="{10EA4626-5E85-465B-9251-EE24AF9A626D}">
      <tableStyleElement type="firstRowStripe" dxfId="5"/>
      <tableStyleElement type="secondRowStripe" dxfId="4"/>
    </tableStyle>
    <tableStyle name="Chia ca Mentor-style 2" pivot="0" count="2" xr9:uid="{C71CA9E1-C45B-491F-B77D-3B24AF910833}">
      <tableStyleElement type="firstRowStripe" dxfId="3"/>
      <tableStyleElement type="secondRowStripe" dxfId="2"/>
    </tableStyle>
    <tableStyle name="Chia ca Mentor-style 3" pivot="0" count="2" xr9:uid="{05842541-E3D8-45E9-9B77-FC5E4A1710F4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1A018-5077-4A44-9D37-C85B29C6F52A}">
  <dimension ref="A1:D48"/>
  <sheetViews>
    <sheetView tabSelected="1" workbookViewId="0">
      <selection activeCell="B44" sqref="B44"/>
    </sheetView>
  </sheetViews>
  <sheetFormatPr defaultRowHeight="15"/>
  <cols>
    <col min="1" max="1" width="18.5703125" bestFit="1" customWidth="1"/>
    <col min="2" max="2" width="28.140625" bestFit="1" customWidth="1"/>
    <col min="3" max="4" width="33.85546875" bestFit="1" customWidth="1"/>
  </cols>
  <sheetData>
    <row r="1" spans="1:4" ht="19.5" thickTop="1" thickBot="1">
      <c r="A1" s="45" t="s">
        <v>150</v>
      </c>
      <c r="B1" s="46" t="s">
        <v>151</v>
      </c>
      <c r="C1" s="48" t="str">
        <f>"13/6"</f>
        <v>13/6</v>
      </c>
      <c r="D1" s="49" t="str">
        <f>"14/6"</f>
        <v>14/6</v>
      </c>
    </row>
    <row r="2" spans="1:4" ht="15.75" customHeight="1" thickTop="1">
      <c r="A2" s="59" t="s">
        <v>0</v>
      </c>
      <c r="B2" s="1" t="s">
        <v>1</v>
      </c>
      <c r="C2" s="2" t="s">
        <v>2</v>
      </c>
      <c r="D2" s="3"/>
    </row>
    <row r="3" spans="1:4">
      <c r="A3" s="53"/>
      <c r="B3" s="4" t="s">
        <v>3</v>
      </c>
      <c r="C3" s="5" t="s">
        <v>4</v>
      </c>
      <c r="D3" s="6" t="s">
        <v>4</v>
      </c>
    </row>
    <row r="4" spans="1:4">
      <c r="A4" s="53"/>
      <c r="B4" s="4" t="s">
        <v>5</v>
      </c>
      <c r="C4" s="5" t="s">
        <v>6</v>
      </c>
      <c r="D4" s="6" t="s">
        <v>7</v>
      </c>
    </row>
    <row r="5" spans="1:4">
      <c r="A5" s="53"/>
      <c r="B5" s="4" t="s">
        <v>8</v>
      </c>
      <c r="C5" s="5" t="s">
        <v>9</v>
      </c>
      <c r="D5" s="6" t="s">
        <v>9</v>
      </c>
    </row>
    <row r="6" spans="1:4" ht="15.75" thickBot="1">
      <c r="A6" s="54"/>
      <c r="B6" s="7" t="s">
        <v>10</v>
      </c>
      <c r="C6" s="8" t="s">
        <v>11</v>
      </c>
      <c r="D6" s="9" t="s">
        <v>11</v>
      </c>
    </row>
    <row r="7" spans="1:4" ht="15" customHeight="1">
      <c r="A7" s="50" t="s">
        <v>12</v>
      </c>
      <c r="B7" s="10" t="s">
        <v>13</v>
      </c>
      <c r="C7" s="11" t="s">
        <v>6</v>
      </c>
      <c r="D7" s="12" t="str">
        <f>"10,11,12"</f>
        <v>10,11,12</v>
      </c>
    </row>
    <row r="8" spans="1:4">
      <c r="A8" s="53"/>
      <c r="B8" s="4" t="s">
        <v>14</v>
      </c>
      <c r="C8" s="5" t="s">
        <v>15</v>
      </c>
      <c r="D8" s="6" t="s">
        <v>16</v>
      </c>
    </row>
    <row r="9" spans="1:4">
      <c r="A9" s="53"/>
      <c r="B9" s="13" t="s">
        <v>17</v>
      </c>
      <c r="C9" s="14">
        <v>9</v>
      </c>
      <c r="D9" s="13" t="s">
        <v>6</v>
      </c>
    </row>
    <row r="10" spans="1:4">
      <c r="A10" s="53"/>
      <c r="B10" s="4" t="s">
        <v>18</v>
      </c>
      <c r="C10" s="15" t="s">
        <v>19</v>
      </c>
      <c r="D10" s="16" t="s">
        <v>19</v>
      </c>
    </row>
    <row r="11" spans="1:4">
      <c r="A11" s="53"/>
      <c r="B11" s="4" t="s">
        <v>20</v>
      </c>
      <c r="C11" s="5" t="s">
        <v>21</v>
      </c>
      <c r="D11" s="16" t="s">
        <v>21</v>
      </c>
    </row>
    <row r="12" spans="1:4">
      <c r="A12" s="53"/>
      <c r="B12" s="4" t="s">
        <v>22</v>
      </c>
      <c r="C12" s="17" t="s">
        <v>168</v>
      </c>
      <c r="D12" s="18" t="s">
        <v>23</v>
      </c>
    </row>
    <row r="13" spans="1:4">
      <c r="A13" s="53"/>
      <c r="B13" s="4" t="s">
        <v>24</v>
      </c>
      <c r="C13" s="5" t="s">
        <v>6</v>
      </c>
      <c r="D13" s="6" t="s">
        <v>25</v>
      </c>
    </row>
    <row r="14" spans="1:4" ht="15.75" thickBot="1">
      <c r="A14" s="54"/>
      <c r="B14" s="19" t="s">
        <v>26</v>
      </c>
      <c r="C14" s="20" t="s">
        <v>27</v>
      </c>
      <c r="D14" s="21" t="s">
        <v>28</v>
      </c>
    </row>
    <row r="15" spans="1:4" ht="15" customHeight="1">
      <c r="A15" s="50" t="s">
        <v>29</v>
      </c>
      <c r="B15" s="1" t="s">
        <v>30</v>
      </c>
      <c r="C15" s="2" t="s">
        <v>31</v>
      </c>
      <c r="D15" s="3" t="s">
        <v>6</v>
      </c>
    </row>
    <row r="16" spans="1:4">
      <c r="A16" s="53"/>
      <c r="B16" s="4" t="s">
        <v>32</v>
      </c>
      <c r="C16" s="5" t="s">
        <v>33</v>
      </c>
      <c r="D16" s="6" t="s">
        <v>34</v>
      </c>
    </row>
    <row r="17" spans="1:4">
      <c r="A17" s="53"/>
      <c r="B17" s="4" t="s">
        <v>35</v>
      </c>
      <c r="C17" s="5" t="s">
        <v>6</v>
      </c>
      <c r="D17" s="16" t="s">
        <v>36</v>
      </c>
    </row>
    <row r="18" spans="1:4">
      <c r="A18" s="53"/>
      <c r="B18" s="4" t="s">
        <v>37</v>
      </c>
      <c r="C18" s="5" t="s">
        <v>6</v>
      </c>
      <c r="D18" s="22" t="str">
        <f>"1,11,12"</f>
        <v>1,11,12</v>
      </c>
    </row>
    <row r="19" spans="1:4">
      <c r="A19" s="53"/>
      <c r="B19" s="23" t="s">
        <v>38</v>
      </c>
      <c r="C19" s="5"/>
      <c r="D19" s="6" t="s">
        <v>39</v>
      </c>
    </row>
    <row r="20" spans="1:4">
      <c r="A20" s="53"/>
      <c r="B20" s="23" t="s">
        <v>40</v>
      </c>
      <c r="C20" s="5" t="s">
        <v>41</v>
      </c>
      <c r="D20" s="22"/>
    </row>
    <row r="21" spans="1:4">
      <c r="A21" s="53"/>
      <c r="B21" s="23" t="s">
        <v>42</v>
      </c>
      <c r="C21" s="5" t="s">
        <v>43</v>
      </c>
      <c r="D21" s="22"/>
    </row>
    <row r="22" spans="1:4" ht="15.75" thickBot="1">
      <c r="A22" s="54"/>
      <c r="B22" s="23" t="s">
        <v>44</v>
      </c>
      <c r="C22" s="20"/>
      <c r="D22" s="21" t="s">
        <v>45</v>
      </c>
    </row>
    <row r="23" spans="1:4" ht="15" customHeight="1">
      <c r="A23" s="50" t="s">
        <v>46</v>
      </c>
      <c r="B23" s="1" t="s">
        <v>38</v>
      </c>
      <c r="C23" s="2" t="s">
        <v>47</v>
      </c>
      <c r="D23" s="24" t="s">
        <v>48</v>
      </c>
    </row>
    <row r="24" spans="1:4">
      <c r="A24" s="53"/>
      <c r="B24" s="4" t="s">
        <v>49</v>
      </c>
      <c r="C24" s="5" t="s">
        <v>50</v>
      </c>
      <c r="D24" s="6" t="s">
        <v>51</v>
      </c>
    </row>
    <row r="25" spans="1:4">
      <c r="A25" s="53"/>
      <c r="B25" s="4" t="s">
        <v>1</v>
      </c>
      <c r="C25" s="15" t="s">
        <v>52</v>
      </c>
      <c r="D25" s="16" t="s">
        <v>53</v>
      </c>
    </row>
    <row r="26" spans="1:4">
      <c r="A26" s="53"/>
      <c r="B26" s="4" t="s">
        <v>54</v>
      </c>
      <c r="C26" s="5" t="s">
        <v>55</v>
      </c>
      <c r="D26" s="6" t="s">
        <v>56</v>
      </c>
    </row>
    <row r="27" spans="1:4">
      <c r="A27" s="53"/>
      <c r="B27" s="13" t="s">
        <v>57</v>
      </c>
      <c r="C27" s="14" t="s">
        <v>58</v>
      </c>
      <c r="D27" s="13" t="s">
        <v>59</v>
      </c>
    </row>
    <row r="28" spans="1:4">
      <c r="A28" s="53"/>
      <c r="B28" s="4" t="s">
        <v>60</v>
      </c>
      <c r="C28" s="5" t="s">
        <v>61</v>
      </c>
      <c r="D28" s="16" t="s">
        <v>62</v>
      </c>
    </row>
    <row r="29" spans="1:4">
      <c r="A29" s="53"/>
      <c r="B29" s="4" t="s">
        <v>63</v>
      </c>
      <c r="C29" s="5" t="s">
        <v>64</v>
      </c>
      <c r="D29" s="6" t="s">
        <v>65</v>
      </c>
    </row>
    <row r="30" spans="1:4">
      <c r="A30" s="53"/>
      <c r="B30" s="4" t="s">
        <v>66</v>
      </c>
      <c r="C30" s="5" t="s">
        <v>67</v>
      </c>
      <c r="D30" s="6" t="s">
        <v>67</v>
      </c>
    </row>
    <row r="31" spans="1:4">
      <c r="A31" s="53"/>
      <c r="B31" s="4" t="s">
        <v>68</v>
      </c>
      <c r="C31" s="5" t="s">
        <v>69</v>
      </c>
      <c r="D31" s="6" t="s">
        <v>69</v>
      </c>
    </row>
    <row r="32" spans="1:4" ht="15.75" thickBot="1">
      <c r="A32" s="54"/>
      <c r="B32" s="19" t="s">
        <v>70</v>
      </c>
      <c r="C32" s="20" t="s">
        <v>71</v>
      </c>
      <c r="D32" s="25" t="s">
        <v>6</v>
      </c>
    </row>
    <row r="33" spans="1:4" ht="15" customHeight="1">
      <c r="A33" s="50" t="s">
        <v>72</v>
      </c>
      <c r="B33" s="26" t="s">
        <v>73</v>
      </c>
      <c r="C33" s="2" t="s">
        <v>74</v>
      </c>
      <c r="D33" s="27" t="s">
        <v>75</v>
      </c>
    </row>
    <row r="34" spans="1:4">
      <c r="A34" s="53"/>
      <c r="B34" s="28" t="s">
        <v>76</v>
      </c>
      <c r="C34" s="5" t="s">
        <v>77</v>
      </c>
      <c r="D34" s="29" t="s">
        <v>6</v>
      </c>
    </row>
    <row r="35" spans="1:4">
      <c r="A35" s="53"/>
      <c r="B35" s="30" t="s">
        <v>78</v>
      </c>
      <c r="C35" s="31" t="s">
        <v>33</v>
      </c>
      <c r="D35" s="32"/>
    </row>
    <row r="36" spans="1:4">
      <c r="A36" s="53"/>
      <c r="B36" s="30" t="s">
        <v>79</v>
      </c>
      <c r="C36" s="31"/>
      <c r="D36" s="33" t="s">
        <v>80</v>
      </c>
    </row>
    <row r="37" spans="1:4" ht="15.75" thickBot="1">
      <c r="A37" s="54"/>
      <c r="B37" s="34" t="s">
        <v>66</v>
      </c>
      <c r="C37" s="35"/>
      <c r="D37" s="33" t="s">
        <v>74</v>
      </c>
    </row>
    <row r="38" spans="1:4">
      <c r="A38" s="56" t="s">
        <v>109</v>
      </c>
      <c r="B38" s="36" t="s">
        <v>81</v>
      </c>
      <c r="C38" s="37">
        <v>11.12</v>
      </c>
      <c r="D38" s="38" t="s">
        <v>82</v>
      </c>
    </row>
    <row r="39" spans="1:4">
      <c r="A39" s="57"/>
      <c r="B39" s="39" t="s">
        <v>83</v>
      </c>
      <c r="C39" s="40" t="s">
        <v>84</v>
      </c>
      <c r="D39" s="41" t="s">
        <v>85</v>
      </c>
    </row>
    <row r="40" spans="1:4">
      <c r="A40" s="57"/>
      <c r="B40" s="39" t="s">
        <v>86</v>
      </c>
      <c r="C40" s="40" t="s">
        <v>87</v>
      </c>
      <c r="D40" s="41" t="s">
        <v>6</v>
      </c>
    </row>
    <row r="41" spans="1:4">
      <c r="A41" s="57"/>
      <c r="B41" s="39" t="s">
        <v>88</v>
      </c>
      <c r="C41" s="40" t="s">
        <v>89</v>
      </c>
      <c r="D41" s="41" t="s">
        <v>6</v>
      </c>
    </row>
    <row r="42" spans="1:4">
      <c r="A42" s="57"/>
      <c r="B42" s="39" t="s">
        <v>90</v>
      </c>
      <c r="C42" s="40" t="s">
        <v>91</v>
      </c>
      <c r="D42" s="41" t="s">
        <v>6</v>
      </c>
    </row>
    <row r="43" spans="1:4">
      <c r="A43" s="57"/>
      <c r="B43" s="39" t="s">
        <v>92</v>
      </c>
      <c r="C43" s="40" t="s">
        <v>6</v>
      </c>
      <c r="D43" s="41" t="s">
        <v>25</v>
      </c>
    </row>
    <row r="44" spans="1:4">
      <c r="A44" s="57"/>
      <c r="B44" s="39" t="s">
        <v>93</v>
      </c>
      <c r="C44" s="40" t="s">
        <v>6</v>
      </c>
      <c r="D44" s="41" t="s">
        <v>94</v>
      </c>
    </row>
    <row r="45" spans="1:4">
      <c r="A45" s="57"/>
      <c r="B45" s="42" t="s">
        <v>42</v>
      </c>
      <c r="C45" s="43"/>
      <c r="D45" s="41" t="s">
        <v>95</v>
      </c>
    </row>
    <row r="46" spans="1:4">
      <c r="A46" s="57"/>
      <c r="B46" s="42" t="s">
        <v>96</v>
      </c>
      <c r="C46" s="43"/>
      <c r="D46" s="41" t="s">
        <v>74</v>
      </c>
    </row>
    <row r="47" spans="1:4">
      <c r="A47" s="57"/>
      <c r="B47" s="44" t="s">
        <v>97</v>
      </c>
      <c r="C47" s="41" t="s">
        <v>84</v>
      </c>
      <c r="D47" s="41"/>
    </row>
    <row r="48" spans="1:4" ht="15.75" thickBot="1">
      <c r="A48" s="58"/>
      <c r="B48" s="44" t="s">
        <v>98</v>
      </c>
      <c r="C48" s="41" t="s">
        <v>33</v>
      </c>
      <c r="D48" s="41"/>
    </row>
  </sheetData>
  <mergeCells count="6">
    <mergeCell ref="A38:A48"/>
    <mergeCell ref="A2:A6"/>
    <mergeCell ref="A7:A14"/>
    <mergeCell ref="A15:A22"/>
    <mergeCell ref="A23:A32"/>
    <mergeCell ref="A33:A37"/>
  </mergeCells>
  <pageMargins left="0.7" right="0.7" top="0.75" bottom="0.75" header="0.3" footer="0.3"/>
  <ignoredErrors>
    <ignoredError sqref="C1:D1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AFBE0-0D98-496D-8753-6B493AF9E67A}">
  <dimension ref="A1:D38"/>
  <sheetViews>
    <sheetView zoomScaleNormal="100" workbookViewId="0">
      <selection activeCell="D14" sqref="D14"/>
    </sheetView>
  </sheetViews>
  <sheetFormatPr defaultRowHeight="15"/>
  <cols>
    <col min="1" max="1" width="15.42578125" bestFit="1" customWidth="1"/>
    <col min="2" max="2" width="27.5703125" bestFit="1" customWidth="1"/>
    <col min="3" max="3" width="24.85546875" bestFit="1" customWidth="1"/>
    <col min="4" max="4" width="24.7109375" bestFit="1" customWidth="1"/>
  </cols>
  <sheetData>
    <row r="1" spans="1:4" ht="19.5" thickTop="1" thickBot="1">
      <c r="A1" s="45" t="s">
        <v>150</v>
      </c>
      <c r="B1" s="46" t="s">
        <v>151</v>
      </c>
      <c r="C1" s="47" t="str">
        <f>"13/6"</f>
        <v>13/6</v>
      </c>
      <c r="D1" s="47" t="str">
        <f>"14/6"</f>
        <v>14/6</v>
      </c>
    </row>
    <row r="2" spans="1:4" ht="15.75" thickTop="1">
      <c r="A2" s="52" t="s">
        <v>29</v>
      </c>
      <c r="B2" t="s">
        <v>99</v>
      </c>
      <c r="C2" t="s">
        <v>6</v>
      </c>
      <c r="D2" t="s">
        <v>164</v>
      </c>
    </row>
    <row r="3" spans="1:4">
      <c r="A3" s="55"/>
      <c r="B3" t="s">
        <v>100</v>
      </c>
      <c r="C3" t="s">
        <v>101</v>
      </c>
      <c r="D3" t="s">
        <v>101</v>
      </c>
    </row>
    <row r="4" spans="1:4">
      <c r="A4" s="55"/>
      <c r="B4" t="s">
        <v>102</v>
      </c>
      <c r="C4" t="s">
        <v>6</v>
      </c>
      <c r="D4" t="s">
        <v>152</v>
      </c>
    </row>
    <row r="5" spans="1:4">
      <c r="A5" s="55"/>
      <c r="B5" t="s">
        <v>103</v>
      </c>
      <c r="C5" t="s">
        <v>6</v>
      </c>
      <c r="D5" t="s">
        <v>120</v>
      </c>
    </row>
    <row r="6" spans="1:4">
      <c r="A6" s="55"/>
      <c r="B6" t="s">
        <v>104</v>
      </c>
      <c r="C6" t="s">
        <v>153</v>
      </c>
      <c r="D6" t="s">
        <v>6</v>
      </c>
    </row>
    <row r="7" spans="1:4">
      <c r="A7" s="55"/>
      <c r="B7" t="s">
        <v>105</v>
      </c>
      <c r="C7" t="s">
        <v>106</v>
      </c>
      <c r="D7" t="s">
        <v>154</v>
      </c>
    </row>
    <row r="8" spans="1:4">
      <c r="A8" s="55"/>
      <c r="B8" t="s">
        <v>107</v>
      </c>
      <c r="C8" t="s">
        <v>155</v>
      </c>
      <c r="D8" t="s">
        <v>6</v>
      </c>
    </row>
    <row r="9" spans="1:4">
      <c r="A9" s="55"/>
      <c r="B9" t="s">
        <v>108</v>
      </c>
      <c r="C9" t="s">
        <v>6</v>
      </c>
      <c r="D9" t="s">
        <v>106</v>
      </c>
    </row>
    <row r="10" spans="1:4">
      <c r="A10" s="51" t="s">
        <v>109</v>
      </c>
      <c r="B10" t="s">
        <v>110</v>
      </c>
      <c r="C10" t="s">
        <v>156</v>
      </c>
      <c r="D10" t="s">
        <v>6</v>
      </c>
    </row>
    <row r="11" spans="1:4">
      <c r="A11" s="51"/>
      <c r="B11" t="s">
        <v>111</v>
      </c>
      <c r="C11" t="s">
        <v>112</v>
      </c>
      <c r="D11" t="s">
        <v>157</v>
      </c>
    </row>
    <row r="12" spans="1:4">
      <c r="A12" s="51"/>
      <c r="B12" t="s">
        <v>113</v>
      </c>
      <c r="C12" t="s">
        <v>165</v>
      </c>
      <c r="D12" t="s">
        <v>6</v>
      </c>
    </row>
    <row r="13" spans="1:4">
      <c r="A13" s="51"/>
      <c r="B13" t="s">
        <v>114</v>
      </c>
      <c r="D13" t="s">
        <v>25</v>
      </c>
    </row>
    <row r="14" spans="1:4">
      <c r="A14" s="51"/>
      <c r="B14" t="s">
        <v>115</v>
      </c>
      <c r="C14" t="s">
        <v>116</v>
      </c>
      <c r="D14" t="s">
        <v>163</v>
      </c>
    </row>
    <row r="15" spans="1:4">
      <c r="A15" s="51"/>
      <c r="B15" t="s">
        <v>117</v>
      </c>
      <c r="C15" t="s">
        <v>120</v>
      </c>
      <c r="D15" t="s">
        <v>118</v>
      </c>
    </row>
    <row r="16" spans="1:4">
      <c r="A16" s="51"/>
      <c r="B16" t="s">
        <v>119</v>
      </c>
      <c r="C16" t="s">
        <v>120</v>
      </c>
      <c r="D16" t="s">
        <v>120</v>
      </c>
    </row>
    <row r="17" spans="1:4">
      <c r="A17" s="51"/>
      <c r="B17" t="s">
        <v>121</v>
      </c>
      <c r="C17">
        <v>11</v>
      </c>
      <c r="D17" t="s">
        <v>122</v>
      </c>
    </row>
    <row r="18" spans="1:4">
      <c r="A18" s="51"/>
      <c r="B18" t="s">
        <v>123</v>
      </c>
      <c r="C18">
        <v>11</v>
      </c>
      <c r="D18" t="s">
        <v>124</v>
      </c>
    </row>
    <row r="19" spans="1:4">
      <c r="A19" s="51"/>
      <c r="B19" t="s">
        <v>125</v>
      </c>
      <c r="C19" t="s">
        <v>6</v>
      </c>
      <c r="D19" t="s">
        <v>158</v>
      </c>
    </row>
    <row r="20" spans="1:4">
      <c r="A20" s="51"/>
      <c r="B20" t="s">
        <v>126</v>
      </c>
      <c r="C20" t="s">
        <v>6</v>
      </c>
      <c r="D20" t="s">
        <v>159</v>
      </c>
    </row>
    <row r="21" spans="1:4">
      <c r="A21" s="51" t="s">
        <v>169</v>
      </c>
      <c r="B21" t="s">
        <v>127</v>
      </c>
      <c r="C21">
        <v>12</v>
      </c>
      <c r="D21">
        <v>1</v>
      </c>
    </row>
    <row r="22" spans="1:4">
      <c r="A22" s="51"/>
      <c r="B22" t="s">
        <v>128</v>
      </c>
      <c r="C22" t="s">
        <v>116</v>
      </c>
      <c r="D22" t="s">
        <v>116</v>
      </c>
    </row>
    <row r="23" spans="1:4">
      <c r="A23" s="51"/>
      <c r="B23" t="s">
        <v>115</v>
      </c>
      <c r="C23" t="s">
        <v>116</v>
      </c>
      <c r="D23" t="s">
        <v>160</v>
      </c>
    </row>
    <row r="24" spans="1:4">
      <c r="A24" s="51"/>
      <c r="B24" t="s">
        <v>129</v>
      </c>
      <c r="C24" t="s">
        <v>130</v>
      </c>
      <c r="D24" t="s">
        <v>130</v>
      </c>
    </row>
    <row r="25" spans="1:4">
      <c r="A25" s="51"/>
      <c r="B25" t="s">
        <v>131</v>
      </c>
      <c r="D25">
        <v>8</v>
      </c>
    </row>
    <row r="26" spans="1:4">
      <c r="A26" s="51" t="s">
        <v>132</v>
      </c>
      <c r="B26" t="s">
        <v>133</v>
      </c>
      <c r="C26" t="s">
        <v>6</v>
      </c>
      <c r="D26" t="s">
        <v>106</v>
      </c>
    </row>
    <row r="27" spans="1:4">
      <c r="A27" s="51"/>
      <c r="B27" t="s">
        <v>134</v>
      </c>
      <c r="C27" t="s">
        <v>161</v>
      </c>
      <c r="D27" t="s">
        <v>135</v>
      </c>
    </row>
    <row r="28" spans="1:4">
      <c r="A28" s="51"/>
      <c r="B28" t="s">
        <v>136</v>
      </c>
      <c r="C28" t="s">
        <v>166</v>
      </c>
      <c r="D28" t="s">
        <v>137</v>
      </c>
    </row>
    <row r="29" spans="1:4">
      <c r="A29" s="51"/>
      <c r="B29" t="s">
        <v>138</v>
      </c>
      <c r="C29" t="s">
        <v>139</v>
      </c>
      <c r="D29">
        <v>3</v>
      </c>
    </row>
    <row r="30" spans="1:4">
      <c r="A30" s="51"/>
      <c r="B30" t="s">
        <v>140</v>
      </c>
      <c r="C30" t="s">
        <v>6</v>
      </c>
      <c r="D30" t="s">
        <v>124</v>
      </c>
    </row>
    <row r="31" spans="1:4">
      <c r="A31" s="51"/>
      <c r="B31" t="s">
        <v>141</v>
      </c>
      <c r="C31" t="s">
        <v>142</v>
      </c>
      <c r="D31" t="s">
        <v>167</v>
      </c>
    </row>
    <row r="32" spans="1:4">
      <c r="A32" s="51" t="s">
        <v>143</v>
      </c>
      <c r="B32" t="s">
        <v>144</v>
      </c>
      <c r="C32" t="s">
        <v>6</v>
      </c>
      <c r="D32" t="s">
        <v>162</v>
      </c>
    </row>
    <row r="33" spans="1:4">
      <c r="A33" s="51"/>
    </row>
    <row r="34" spans="1:4">
      <c r="A34" s="51"/>
      <c r="B34" t="s">
        <v>145</v>
      </c>
      <c r="C34" t="s">
        <v>163</v>
      </c>
      <c r="D34" t="s">
        <v>6</v>
      </c>
    </row>
    <row r="35" spans="1:4">
      <c r="A35" s="51" t="s">
        <v>46</v>
      </c>
      <c r="B35" t="s">
        <v>146</v>
      </c>
      <c r="C35" t="s">
        <v>137</v>
      </c>
      <c r="D35" t="s">
        <v>6</v>
      </c>
    </row>
    <row r="36" spans="1:4">
      <c r="A36" s="51"/>
      <c r="B36" t="s">
        <v>147</v>
      </c>
      <c r="C36" t="s">
        <v>11</v>
      </c>
      <c r="D36" t="s">
        <v>6</v>
      </c>
    </row>
    <row r="37" spans="1:4">
      <c r="A37" s="51"/>
      <c r="B37" t="s">
        <v>148</v>
      </c>
      <c r="C37">
        <v>10</v>
      </c>
      <c r="D37" t="s">
        <v>163</v>
      </c>
    </row>
    <row r="38" spans="1:4">
      <c r="A38" s="51"/>
      <c r="B38" t="s">
        <v>149</v>
      </c>
      <c r="C38" t="s">
        <v>6</v>
      </c>
      <c r="D38">
        <v>7</v>
      </c>
    </row>
  </sheetData>
  <mergeCells count="6">
    <mergeCell ref="A10:A20"/>
    <mergeCell ref="A2:A9"/>
    <mergeCell ref="A32:A34"/>
    <mergeCell ref="A35:A38"/>
    <mergeCell ref="A21:A25"/>
    <mergeCell ref="A26:A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mentors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TUẤN HÙNG</dc:creator>
  <cp:lastModifiedBy>NGUYỄN TUẤN HÙNG</cp:lastModifiedBy>
  <dcterms:created xsi:type="dcterms:W3CDTF">2026-02-28T05:24:25Z</dcterms:created>
  <dcterms:modified xsi:type="dcterms:W3CDTF">2026-02-28T08:04:00Z</dcterms:modified>
</cp:coreProperties>
</file>